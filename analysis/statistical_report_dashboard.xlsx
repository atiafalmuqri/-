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xr:revisionPtr revIDLastSave="0" documentId="8_{FF431AF8-71EE-C543-BC43-C4AE5B1BA8EA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لوحة الرسومات الإحصائية" sheetId="1" r:id="rId1"/>
    <sheet name="التحليل الإحصائي" sheetId="2" r:id="rId2"/>
    <sheet name="المواد القانونية" sheetId="3" r:id="rId3"/>
    <sheet name="التوزيع الجغرافي للكيانات" sheetId="4" r:id="rId4"/>
    <sheet name="أنواع الكيانات" sheetId="5" r:id="rId5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5" l="1"/>
  <c r="C3" i="5"/>
  <c r="C4" i="5"/>
  <c r="B4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B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B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17" i="2"/>
  <c r="B34" i="2"/>
  <c r="B33" i="2"/>
  <c r="B28" i="2"/>
  <c r="B29" i="2"/>
  <c r="B30" i="2"/>
  <c r="B16" i="2"/>
  <c r="B25" i="2"/>
  <c r="B24" i="2"/>
  <c r="B23" i="2"/>
  <c r="C22" i="2"/>
  <c r="B22" i="2"/>
  <c r="B20" i="2"/>
  <c r="B18" i="2"/>
  <c r="B21" i="2"/>
  <c r="B19" i="2"/>
  <c r="B9" i="2"/>
  <c r="B7" i="2"/>
  <c r="B13" i="2"/>
  <c r="B12" i="2"/>
  <c r="B11" i="2"/>
  <c r="C10" i="2"/>
  <c r="B10" i="2"/>
  <c r="B8" i="2"/>
  <c r="B6" i="2"/>
  <c r="B5" i="2"/>
  <c r="A19" i="1"/>
  <c r="A18" i="1"/>
  <c r="A17" i="1"/>
  <c r="A16" i="1"/>
  <c r="A15" i="1"/>
  <c r="A14" i="1"/>
  <c r="A13" i="1"/>
  <c r="J9" i="1"/>
  <c r="G9" i="1"/>
  <c r="D9" i="1"/>
  <c r="A9" i="1"/>
  <c r="J5" i="1"/>
  <c r="G5" i="1"/>
  <c r="D5" i="1"/>
  <c r="A5" i="1"/>
</calcChain>
</file>

<file path=xl/sharedStrings.xml><?xml version="1.0" encoding="utf-8"?>
<sst xmlns="http://schemas.openxmlformats.org/spreadsheetml/2006/main" count="101" uniqueCount="92">
  <si>
    <t>لوحة الرسومات الإحصائية</t>
  </si>
  <si>
    <t>تحليل المواد القانونية والتوزيع الجغرافي وأنواع الكيانات غير الربحية</t>
  </si>
  <si>
    <t>إجمالي المواد القانونية</t>
  </si>
  <si>
    <t>إجمالي الكيانات</t>
  </si>
  <si>
    <t>عدد المناطق</t>
  </si>
  <si>
    <t>أنواع الكيانات</t>
  </si>
  <si>
    <t>أكبر موضوع (مواد)</t>
  </si>
  <si>
    <t>أكبر منطقة (كيانات)</t>
  </si>
  <si>
    <t>حصة منطقة الرياض</t>
  </si>
  <si>
    <t>نسبة الجمعيات الأهلية</t>
  </si>
  <si>
    <t>ملاحظات إحصائية</t>
  </si>
  <si>
    <t>تنبيه: الأرقام مبنية على ملف الإحصاءات المرفوع، وعدد المواد هنا 175 بينما يذكر README 176. راجع التحليل الإحصائي قبل النشر.</t>
  </si>
  <si>
    <t>التحليل الإحصائي</t>
  </si>
  <si>
    <t>كل الأرقام أدناه معادلات تُحسب من أوراق البيانات، وتتحدث تلقائياً عند تغيير أي قيمة.</t>
  </si>
  <si>
    <t>1) الموضوعات القانونية</t>
  </si>
  <si>
    <t>عدد الموضوعات</t>
  </si>
  <si>
    <t>إجمالي المواد</t>
  </si>
  <si>
    <t>متوسط المواد لكل موضوع</t>
  </si>
  <si>
    <t>الوسيط</t>
  </si>
  <si>
    <t>نصف الموضوعات تقريباً أقل من هذا العدد</t>
  </si>
  <si>
    <t>الانحراف المعياري</t>
  </si>
  <si>
    <t>ارتفاعه يعني تفاوتاً كبيراً بين الموضوعات</t>
  </si>
  <si>
    <t>حصة أكبر موضوع</t>
  </si>
  <si>
    <t>عدد الموضوعات التي تغطي 80% من المواد</t>
  </si>
  <si>
    <t>مبدأ باريتو: قلة من الموضوعات تستحوذ على معظم المواد</t>
  </si>
  <si>
    <t>موضوعات بمادتين أو أقل</t>
  </si>
  <si>
    <t>مواضيع ضعيفة التمثيل، قد لا تكفي لاستنتاج</t>
  </si>
  <si>
    <t>معامل الاختلاف (الانحراف ÷ المتوسط)</t>
  </si>
  <si>
    <t>أكبر من 1 يعني تفاوتاً مرتفعاً نسبياً</t>
  </si>
  <si>
    <t>2) التوزيع الجغرافي للكيانات</t>
  </si>
  <si>
    <t>متوسط الكيانات لكل منطقة</t>
  </si>
  <si>
    <t>معامل الاختلاف</t>
  </si>
  <si>
    <t>يقيس تركز الكيانات في مناطق محددة</t>
  </si>
  <si>
    <t>حصة أكبر منطقة</t>
  </si>
  <si>
    <t>حصة أكبر 3 مناطق</t>
  </si>
  <si>
    <t>مؤشر التركز (HHI)</t>
  </si>
  <si>
    <t>أقصى قيمة 10,000 (كل الكيانات في منطقة واحدة)</t>
  </si>
  <si>
    <t>الحد الأدنى النظري لمؤشر التركز</t>
  </si>
  <si>
    <t>القيمة إذا توزعت الكيانات بالتساوي بين المناطق</t>
  </si>
  <si>
    <t>3) أنواع الكيانات</t>
  </si>
  <si>
    <t>نسبة المؤسسات الأهلية</t>
  </si>
  <si>
    <t>نسبة الفرق بين النوعين (نقطة مئوية)</t>
  </si>
  <si>
    <t>ملاحظات منهجية</t>
  </si>
  <si>
    <t>عدد المواد في هذا الملف 175</t>
  </si>
  <si>
    <t>تنبيه: README والدفتر يذكران 176 مادة (129 + 47). يجب توحيد الرقم قبل التسليم.</t>
  </si>
  <si>
    <t>مطابقة إجمالي الكيانات بين المناطق والأنواع</t>
  </si>
  <si>
    <t>يتحقق أن مجموع المناطق يساوي مجموع أنواع الكيانات (2,723).</t>
  </si>
  <si>
    <t>الموضوع الرئيسي</t>
  </si>
  <si>
    <t>عدد المواد</t>
  </si>
  <si>
    <t>النسبة من الإجمالي</t>
  </si>
  <si>
    <t>النسبة التراكمية</t>
  </si>
  <si>
    <t>مجلس الإدارة ومجلس الأمناء</t>
  </si>
  <si>
    <t>العضوية</t>
  </si>
  <si>
    <t>التأسيس والترخيص والتسجيل</t>
  </si>
  <si>
    <t>الحل والدمج</t>
  </si>
  <si>
    <t>الانتخابات والترشح</t>
  </si>
  <si>
    <t>المالية والموارد</t>
  </si>
  <si>
    <t>اللجان</t>
  </si>
  <si>
    <t>المجالس الوطنية والفرعية</t>
  </si>
  <si>
    <t>أحكام عامة وختامية</t>
  </si>
  <si>
    <t>الأهداف والأنشطة</t>
  </si>
  <si>
    <t>الجمعية العمومية</t>
  </si>
  <si>
    <t>الرقابة الداخلية</t>
  </si>
  <si>
    <t>الصناديق الأهلية والعائلية</t>
  </si>
  <si>
    <t>الإفصاح والشفافية</t>
  </si>
  <si>
    <t>المكافآت</t>
  </si>
  <si>
    <t>العلاقات والتمويل الخارجي</t>
  </si>
  <si>
    <t>صفة النفع العام</t>
  </si>
  <si>
    <t>التمثيل والشخصية الاعتبارية</t>
  </si>
  <si>
    <t>الإدارة التنفيذية والموارد البشرية</t>
  </si>
  <si>
    <t>الحوكمة والسياسات</t>
  </si>
  <si>
    <t>الإجمالي</t>
  </si>
  <si>
    <t>المنطقة</t>
  </si>
  <si>
    <t>عدد الكيانات</t>
  </si>
  <si>
    <t>الترتيب</t>
  </si>
  <si>
    <t>منطقة الرياض</t>
  </si>
  <si>
    <t>منطقة مكة المكرمة</t>
  </si>
  <si>
    <t>منطقة القصيم</t>
  </si>
  <si>
    <t>المنطقة الشرقية</t>
  </si>
  <si>
    <t>منطقة عسير</t>
  </si>
  <si>
    <t>منطقة المدينة المنورة</t>
  </si>
  <si>
    <t>منطقة جازان</t>
  </si>
  <si>
    <t>منطقة حائل</t>
  </si>
  <si>
    <t>منطقة الباحة</t>
  </si>
  <si>
    <t>منطقة الجوف</t>
  </si>
  <si>
    <t>منطقة تبوك</t>
  </si>
  <si>
    <t>منطقة نجران</t>
  </si>
  <si>
    <t>منطقة الحدود الشمالية</t>
  </si>
  <si>
    <t>نوع الكيان</t>
  </si>
  <si>
    <t>العدد</t>
  </si>
  <si>
    <t>جمعية أهلية</t>
  </si>
  <si>
    <t>مؤسسة أهلية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</si>
</sst>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595959"/>
      <name val="Arial"/>
      <charset val="1"/>
    </font>
    <font>
      <b/>
      <sz val="10"/>
      <color rgb="FFFFFFFF"/>
      <name val="Arial"/>
      <charset val="1"/>
    </font>
    <font>
      <b/>
      <sz val="18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C00000"/>
      <name val="Arial"/>
      <charset val="1"/>
    </font>
    <font>
      <b/>
      <sz val="14"/>
      <color rgb="FF1F4E78"/>
      <name val="Arial"/>
      <charset val="1"/>
    </font>
    <font>
      <i/>
      <sz val="11"/>
      <color rgb="FF595959"/>
      <name val="Arial"/>
      <charset val="1"/>
    </font>
    <font>
      <b/>
      <sz val="12"/>
      <color rgb="FFFFFFFF"/>
      <name val="Arial"/>
      <charset val="1"/>
    </font>
    <font>
      <sz val="11"/>
      <name val="Arial"/>
      <charset val="1"/>
    </font>
    <font>
      <sz val="9"/>
      <color rgb="FF595959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0" fillId="3" borderId="0" xfId="0" applyFont="1" applyFill="1" applyBorder="1"/>
    <xf numFmtId="0" fontId="9" fillId="0" borderId="0" xfId="0" applyFont="1" applyBorder="1"/>
    <xf numFmtId="0" fontId="8" fillId="0" borderId="0" xfId="0" applyFont="1" applyBorder="1"/>
    <xf numFmtId="0" fontId="7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3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2" fontId="11" fillId="0" borderId="1" xfId="0" applyNumberFormat="1" applyFont="1" applyBorder="1" applyAlignment="1">
      <alignment horizontal="right" vertical="center" wrapText="1"/>
    </xf>
    <xf numFmtId="166" fontId="11" fillId="0" borderId="1" xfId="0" applyNumberFormat="1" applyFont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/>
    </xf>
    <xf numFmtId="0" fontId="13" fillId="0" borderId="0" xfId="0" applyFont="1"/>
    <xf numFmtId="3" fontId="13" fillId="0" borderId="1" xfId="0" applyNumberFormat="1" applyFont="1" applyBorder="1" applyAlignment="1">
      <alignment horizontal="right" vertical="center" wrapText="1"/>
    </xf>
    <xf numFmtId="164" fontId="13" fillId="0" borderId="1" xfId="0" applyNumberFormat="1" applyFont="1" applyBorder="1" applyAlignment="1">
      <alignment horizontal="right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عدد المواد حسب الموضوع الرئيسي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'المواد القانونية'!B1</c:f>
              <c:strCache>
                <c:ptCount val="1"/>
                <c:pt idx="0">
                  <c:v>عدد المواد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'المواد القانونية'!$A$2:$A$21</c:f>
              <c:strCache>
                <c:ptCount val="20"/>
                <c:pt idx="0">
                  <c:v>مجلس الإدارة ومجلس الأمناء</c:v>
                </c:pt>
                <c:pt idx="1">
                  <c:v>العضوية</c:v>
                </c:pt>
                <c:pt idx="2">
                  <c:v>التأسيس والترخيص والتسجيل</c:v>
                </c:pt>
                <c:pt idx="3">
                  <c:v>الحل والدمج</c:v>
                </c:pt>
                <c:pt idx="4">
                  <c:v>الانتخابات والترشح</c:v>
                </c:pt>
                <c:pt idx="5">
                  <c:v>المالية والموارد</c:v>
                </c:pt>
                <c:pt idx="6">
                  <c:v>اللجان</c:v>
                </c:pt>
                <c:pt idx="7">
                  <c:v>المجالس الوطنية والفرعية</c:v>
                </c:pt>
                <c:pt idx="8">
                  <c:v>أحكام عامة وختامية</c:v>
                </c:pt>
                <c:pt idx="9">
                  <c:v>الأهداف والأنشطة</c:v>
                </c:pt>
                <c:pt idx="10">
                  <c:v>الجمعية العمومية</c:v>
                </c:pt>
                <c:pt idx="11">
                  <c:v>الرقابة الداخلية</c:v>
                </c:pt>
                <c:pt idx="12">
                  <c:v>الصناديق الأهلية والعائلية</c:v>
                </c:pt>
                <c:pt idx="13">
                  <c:v>الإفصاح والشفافية</c:v>
                </c:pt>
                <c:pt idx="14">
                  <c:v>المكافآت</c:v>
                </c:pt>
                <c:pt idx="15">
                  <c:v>العلاقات والتمويل الخارجي</c:v>
                </c:pt>
                <c:pt idx="16">
                  <c:v>صفة النفع العام</c:v>
                </c:pt>
                <c:pt idx="17">
                  <c:v>التمثيل والشخصية الاعتبارية</c:v>
                </c:pt>
                <c:pt idx="18">
                  <c:v>الإدارة التنفيذية والموارد البشرية</c:v>
                </c:pt>
                <c:pt idx="19">
                  <c:v>الحوكمة والسياسات</c:v>
                </c:pt>
              </c:strCache>
            </c:strRef>
          </c:cat>
          <c:val>
            <c:numRef>
              <c:f>'المواد القانونية'!$B$2:$B$21</c:f>
              <c:numCache>
                <c:formatCode>#,##0</c:formatCode>
                <c:ptCount val="20"/>
                <c:pt idx="0">
                  <c:v>41</c:v>
                </c:pt>
                <c:pt idx="1">
                  <c:v>27</c:v>
                </c:pt>
                <c:pt idx="2">
                  <c:v>16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0-5443-8E9B-4506C89ED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0221975"/>
        <c:axId val="49215262"/>
      </c:barChart>
      <c:catAx>
        <c:axId val="60221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49215262"/>
        <c:crosses val="autoZero"/>
        <c:auto val="1"/>
        <c:lblAlgn val="ctr"/>
        <c:lblOffset val="100"/>
        <c:noMultiLvlLbl val="0"/>
      </c:catAx>
      <c:valAx>
        <c:axId val="49215262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602219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الكيانات حسب المنطقة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'التوزيع الجغرافي للكيانات'!B1</c:f>
              <c:strCache>
                <c:ptCount val="1"/>
                <c:pt idx="0">
                  <c:v>عدد الكيانات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'التوزيع الجغرافي للكيانات'!$A$2:$A$14</c:f>
              <c:strCache>
                <c:ptCount val="13"/>
                <c:pt idx="0">
                  <c:v>منطقة الرياض</c:v>
                </c:pt>
                <c:pt idx="1">
                  <c:v>منطقة مكة المكرمة</c:v>
                </c:pt>
                <c:pt idx="2">
                  <c:v>منطقة القصيم</c:v>
                </c:pt>
                <c:pt idx="3">
                  <c:v>المنطقة الشرقية</c:v>
                </c:pt>
                <c:pt idx="4">
                  <c:v>منطقة عسير</c:v>
                </c:pt>
                <c:pt idx="5">
                  <c:v>منطقة المدينة المنورة</c:v>
                </c:pt>
                <c:pt idx="6">
                  <c:v>منطقة جازان</c:v>
                </c:pt>
                <c:pt idx="7">
                  <c:v>منطقة حائل</c:v>
                </c:pt>
                <c:pt idx="8">
                  <c:v>منطقة الباحة</c:v>
                </c:pt>
                <c:pt idx="9">
                  <c:v>منطقة الجوف</c:v>
                </c:pt>
                <c:pt idx="10">
                  <c:v>منطقة تبوك</c:v>
                </c:pt>
                <c:pt idx="11">
                  <c:v>منطقة نجران</c:v>
                </c:pt>
                <c:pt idx="12">
                  <c:v>منطقة الحدود الشمالية</c:v>
                </c:pt>
              </c:strCache>
            </c:strRef>
          </c:cat>
          <c:val>
            <c:numRef>
              <c:f>'التوزيع الجغرافي للكيانات'!$B$2:$B$14</c:f>
              <c:numCache>
                <c:formatCode>#,##0</c:formatCode>
                <c:ptCount val="13"/>
                <c:pt idx="0">
                  <c:v>798</c:v>
                </c:pt>
                <c:pt idx="1">
                  <c:v>444</c:v>
                </c:pt>
                <c:pt idx="2">
                  <c:v>227</c:v>
                </c:pt>
                <c:pt idx="3">
                  <c:v>223</c:v>
                </c:pt>
                <c:pt idx="4">
                  <c:v>220</c:v>
                </c:pt>
                <c:pt idx="5">
                  <c:v>183</c:v>
                </c:pt>
                <c:pt idx="6">
                  <c:v>148</c:v>
                </c:pt>
                <c:pt idx="7">
                  <c:v>130</c:v>
                </c:pt>
                <c:pt idx="8">
                  <c:v>90</c:v>
                </c:pt>
                <c:pt idx="9">
                  <c:v>73</c:v>
                </c:pt>
                <c:pt idx="10">
                  <c:v>73</c:v>
                </c:pt>
                <c:pt idx="11">
                  <c:v>59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4-574A-B93F-FBEA4813C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0071"/>
        <c:axId val="9738848"/>
      </c:barChart>
      <c:catAx>
        <c:axId val="2590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9738848"/>
        <c:crosses val="autoZero"/>
        <c:auto val="1"/>
        <c:lblAlgn val="ctr"/>
        <c:lblOffset val="100"/>
        <c:noMultiLvlLbl val="0"/>
      </c:catAx>
      <c:valAx>
        <c:axId val="97388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عدد الكيانات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25900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نسبة أنواع الكيانات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'أنواع الكيانات'!B1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'أنواع الكيانات'!$A$2:$A$3</c:f>
              <c:strCache>
                <c:ptCount val="2"/>
                <c:pt idx="0">
                  <c:v>جمعية أهلية</c:v>
                </c:pt>
                <c:pt idx="1">
                  <c:v>مؤسسة أهلية</c:v>
                </c:pt>
              </c:strCache>
            </c:strRef>
          </c:cat>
          <c:val>
            <c:numRef>
              <c:f>'أنواع الكيانات'!$B$2:$B$3</c:f>
              <c:numCache>
                <c:formatCode>#,##0</c:formatCode>
                <c:ptCount val="2"/>
                <c:pt idx="0">
                  <c:v>2450</c:v>
                </c:pt>
                <c:pt idx="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7-BA4E-A3CB-B554234D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مقارنة عدد الجمعيات والمؤسسات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'أنواع الكيانات'!B1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'أنواع الكيانات'!$A$2:$A$3</c:f>
              <c:strCache>
                <c:ptCount val="2"/>
                <c:pt idx="0">
                  <c:v>جمعية أهلية</c:v>
                </c:pt>
                <c:pt idx="1">
                  <c:v>مؤسسة أهلية</c:v>
                </c:pt>
              </c:strCache>
            </c:strRef>
          </c:cat>
          <c:val>
            <c:numRef>
              <c:f>'أنواع الكيانات'!$B$2:$B$3</c:f>
              <c:numCache>
                <c:formatCode>#,##0</c:formatCode>
                <c:ptCount val="2"/>
                <c:pt idx="0">
                  <c:v>2450</c:v>
                </c:pt>
                <c:pt idx="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0-FC41-875E-04AFF460D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75288"/>
        <c:axId val="45423788"/>
      </c:barChart>
      <c:catAx>
        <c:axId val="20175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45423788"/>
        <c:crosses val="autoZero"/>
        <c:auto val="1"/>
        <c:lblAlgn val="ctr"/>
        <c:lblOffset val="100"/>
        <c:noMultiLvlLbl val="0"/>
      </c:catAx>
      <c:valAx>
        <c:axId val="4542378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العدد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201752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تحليل باريتو: المواد والنسبة التراكمية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'المواد القانونية'!B1</c:f>
              <c:strCache>
                <c:ptCount val="1"/>
                <c:pt idx="0">
                  <c:v>عدد المواد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'المواد القانونية'!$A$2:$A$21</c:f>
              <c:strCache>
                <c:ptCount val="20"/>
                <c:pt idx="0">
                  <c:v>مجلس الإدارة ومجلس الأمناء</c:v>
                </c:pt>
                <c:pt idx="1">
                  <c:v>العضوية</c:v>
                </c:pt>
                <c:pt idx="2">
                  <c:v>التأسيس والترخيص والتسجيل</c:v>
                </c:pt>
                <c:pt idx="3">
                  <c:v>الحل والدمج</c:v>
                </c:pt>
                <c:pt idx="4">
                  <c:v>الانتخابات والترشح</c:v>
                </c:pt>
                <c:pt idx="5">
                  <c:v>المالية والموارد</c:v>
                </c:pt>
                <c:pt idx="6">
                  <c:v>اللجان</c:v>
                </c:pt>
                <c:pt idx="7">
                  <c:v>المجالس الوطنية والفرعية</c:v>
                </c:pt>
                <c:pt idx="8">
                  <c:v>أحكام عامة وختامية</c:v>
                </c:pt>
                <c:pt idx="9">
                  <c:v>الأهداف والأنشطة</c:v>
                </c:pt>
                <c:pt idx="10">
                  <c:v>الجمعية العمومية</c:v>
                </c:pt>
                <c:pt idx="11">
                  <c:v>الرقابة الداخلية</c:v>
                </c:pt>
                <c:pt idx="12">
                  <c:v>الصناديق الأهلية والعائلية</c:v>
                </c:pt>
                <c:pt idx="13">
                  <c:v>الإفصاح والشفافية</c:v>
                </c:pt>
                <c:pt idx="14">
                  <c:v>المكافآت</c:v>
                </c:pt>
                <c:pt idx="15">
                  <c:v>العلاقات والتمويل الخارجي</c:v>
                </c:pt>
                <c:pt idx="16">
                  <c:v>صفة النفع العام</c:v>
                </c:pt>
                <c:pt idx="17">
                  <c:v>التمثيل والشخصية الاعتبارية</c:v>
                </c:pt>
                <c:pt idx="18">
                  <c:v>الإدارة التنفيذية والموارد البشرية</c:v>
                </c:pt>
                <c:pt idx="19">
                  <c:v>الحوكمة والسياسات</c:v>
                </c:pt>
              </c:strCache>
            </c:strRef>
          </c:cat>
          <c:val>
            <c:numRef>
              <c:f>'المواد القانونية'!$B$2:$B$21</c:f>
              <c:numCache>
                <c:formatCode>#,##0</c:formatCode>
                <c:ptCount val="20"/>
                <c:pt idx="0">
                  <c:v>41</c:v>
                </c:pt>
                <c:pt idx="1">
                  <c:v>27</c:v>
                </c:pt>
                <c:pt idx="2">
                  <c:v>16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F-7343-834D-D2350C27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49220"/>
        <c:axId val="96126593"/>
      </c:barChart>
      <c:lineChart>
        <c:grouping val="standard"/>
        <c:varyColors val="0"/>
        <c:ser>
          <c:idx val="1"/>
          <c:order val="1"/>
          <c:tx>
            <c:strRef>
              <c:f>'المواد القانونية'!D1</c:f>
              <c:strCache>
                <c:ptCount val="1"/>
                <c:pt idx="0">
                  <c:v>النسبة التراكمية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'المواد القانونية'!$A$2:$A$21</c:f>
              <c:strCache>
                <c:ptCount val="20"/>
                <c:pt idx="0">
                  <c:v>مجلس الإدارة ومجلس الأمناء</c:v>
                </c:pt>
                <c:pt idx="1">
                  <c:v>العضوية</c:v>
                </c:pt>
                <c:pt idx="2">
                  <c:v>التأسيس والترخيص والتسجيل</c:v>
                </c:pt>
                <c:pt idx="3">
                  <c:v>الحل والدمج</c:v>
                </c:pt>
                <c:pt idx="4">
                  <c:v>الانتخابات والترشح</c:v>
                </c:pt>
                <c:pt idx="5">
                  <c:v>المالية والموارد</c:v>
                </c:pt>
                <c:pt idx="6">
                  <c:v>اللجان</c:v>
                </c:pt>
                <c:pt idx="7">
                  <c:v>المجالس الوطنية والفرعية</c:v>
                </c:pt>
                <c:pt idx="8">
                  <c:v>أحكام عامة وختامية</c:v>
                </c:pt>
                <c:pt idx="9">
                  <c:v>الأهداف والأنشطة</c:v>
                </c:pt>
                <c:pt idx="10">
                  <c:v>الجمعية العمومية</c:v>
                </c:pt>
                <c:pt idx="11">
                  <c:v>الرقابة الداخلية</c:v>
                </c:pt>
                <c:pt idx="12">
                  <c:v>الصناديق الأهلية والعائلية</c:v>
                </c:pt>
                <c:pt idx="13">
                  <c:v>الإفصاح والشفافية</c:v>
                </c:pt>
                <c:pt idx="14">
                  <c:v>المكافآت</c:v>
                </c:pt>
                <c:pt idx="15">
                  <c:v>العلاقات والتمويل الخارجي</c:v>
                </c:pt>
                <c:pt idx="16">
                  <c:v>صفة النفع العام</c:v>
                </c:pt>
                <c:pt idx="17">
                  <c:v>التمثيل والشخصية الاعتبارية</c:v>
                </c:pt>
                <c:pt idx="18">
                  <c:v>الإدارة التنفيذية والموارد البشرية</c:v>
                </c:pt>
                <c:pt idx="19">
                  <c:v>الحوكمة والسياسات</c:v>
                </c:pt>
              </c:strCache>
            </c:strRef>
          </c:cat>
          <c:val>
            <c:numRef>
              <c:f>'المواد القانونية'!$D$2:$D$21</c:f>
              <c:numCache>
                <c:formatCode>0.0%</c:formatCode>
                <c:ptCount val="20"/>
                <c:pt idx="0">
                  <c:v>0.23428571428571429</c:v>
                </c:pt>
                <c:pt idx="1">
                  <c:v>0.38857142857142857</c:v>
                </c:pt>
                <c:pt idx="2">
                  <c:v>0.48</c:v>
                </c:pt>
                <c:pt idx="3">
                  <c:v>0.56000000000000005</c:v>
                </c:pt>
                <c:pt idx="4">
                  <c:v>0.63428571428571423</c:v>
                </c:pt>
                <c:pt idx="5">
                  <c:v>0.70857142857142852</c:v>
                </c:pt>
                <c:pt idx="6">
                  <c:v>0.76571428571428568</c:v>
                </c:pt>
                <c:pt idx="7">
                  <c:v>0.81714285714285717</c:v>
                </c:pt>
                <c:pt idx="8">
                  <c:v>0.86285714285714288</c:v>
                </c:pt>
                <c:pt idx="9">
                  <c:v>0.89142857142857146</c:v>
                </c:pt>
                <c:pt idx="10">
                  <c:v>0.90857142857142859</c:v>
                </c:pt>
                <c:pt idx="11">
                  <c:v>0.92571428571428571</c:v>
                </c:pt>
                <c:pt idx="12">
                  <c:v>0.94285714285714284</c:v>
                </c:pt>
                <c:pt idx="13">
                  <c:v>0.95428571428571429</c:v>
                </c:pt>
                <c:pt idx="14">
                  <c:v>0.96571428571428575</c:v>
                </c:pt>
                <c:pt idx="15">
                  <c:v>0.97714285714285709</c:v>
                </c:pt>
                <c:pt idx="16">
                  <c:v>0.98285714285714287</c:v>
                </c:pt>
                <c:pt idx="17">
                  <c:v>0.98857142857142855</c:v>
                </c:pt>
                <c:pt idx="18">
                  <c:v>0.99428571428571433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6F-7343-834D-D2350C27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907364"/>
        <c:axId val="78947174"/>
      </c:lineChart>
      <c:catAx>
        <c:axId val="43249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96126593"/>
        <c:crosses val="autoZero"/>
        <c:auto val="1"/>
        <c:lblAlgn val="ctr"/>
        <c:lblOffset val="100"/>
        <c:noMultiLvlLbl val="0"/>
      </c:catAx>
      <c:valAx>
        <c:axId val="96126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عدد المواد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43249220"/>
        <c:crosses val="autoZero"/>
        <c:crossBetween val="between"/>
      </c:valAx>
      <c:catAx>
        <c:axId val="169073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78947174"/>
        <c:crosses val="autoZero"/>
        <c:auto val="1"/>
        <c:lblAlgn val="ctr"/>
        <c:lblOffset val="100"/>
        <c:noMultiLvlLbl val="0"/>
      </c:catAx>
      <c:valAx>
        <c:axId val="78947174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النسبة التراكمية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169073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-261720</xdr:colOff>
      <xdr:row>22</xdr:row>
      <xdr:rowOff>39240</xdr:rowOff>
    </xdr:from>
    <xdr:to>
      <xdr:col>6</xdr:col>
      <xdr:colOff>0</xdr:colOff>
      <xdr:row>44</xdr:row>
      <xdr:rowOff>167760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-261720</xdr:colOff>
      <xdr:row>22</xdr:row>
      <xdr:rowOff>39240</xdr:rowOff>
    </xdr:from>
    <xdr:to>
      <xdr:col>13</xdr:col>
      <xdr:colOff>0</xdr:colOff>
      <xdr:row>44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-261720</xdr:colOff>
      <xdr:row>47</xdr:row>
      <xdr:rowOff>39240</xdr:rowOff>
    </xdr:from>
    <xdr:to>
      <xdr:col>6</xdr:col>
      <xdr:colOff>0</xdr:colOff>
      <xdr:row>64</xdr:row>
      <xdr:rowOff>40320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-261720</xdr:colOff>
      <xdr:row>47</xdr:row>
      <xdr:rowOff>39240</xdr:rowOff>
    </xdr:from>
    <xdr:to>
      <xdr:col>13</xdr:col>
      <xdr:colOff>0</xdr:colOff>
      <xdr:row>64</xdr:row>
      <xdr:rowOff>40320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-7920</xdr:colOff>
      <xdr:row>35</xdr:row>
      <xdr:rowOff>13320</xdr:rowOff>
    </xdr:from>
    <xdr:to>
      <xdr:col>4</xdr:col>
      <xdr:colOff>0</xdr:colOff>
      <xdr:row>57</xdr:row>
      <xdr:rowOff>141840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"/>
  <sheetViews>
    <sheetView rightToLeft="1" topLeftCell="B11" zoomScaleNormal="100" workbookViewId="0"/>
  </sheetViews>
  <sheetFormatPr defaultColWidth="8.7421875" defaultRowHeight="15" x14ac:dyDescent="0.2"/>
  <cols>
    <col min="1" max="14" width="13.046875" customWidth="1"/>
  </cols>
  <sheetData>
    <row r="1" spans="1:14" ht="33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5" customHeight="1" x14ac:dyDescent="0.2">
      <c r="A4" s="10" t="s">
        <v>2</v>
      </c>
      <c r="B4" s="10"/>
      <c r="C4" s="10"/>
      <c r="D4" s="10" t="s">
        <v>3</v>
      </c>
      <c r="E4" s="10"/>
      <c r="F4" s="10"/>
      <c r="G4" s="10" t="s">
        <v>4</v>
      </c>
      <c r="H4" s="10"/>
      <c r="I4" s="10"/>
      <c r="J4" s="10" t="s">
        <v>5</v>
      </c>
      <c r="K4" s="10"/>
      <c r="L4" s="10"/>
    </row>
    <row r="5" spans="1:14" ht="30" customHeight="1" x14ac:dyDescent="0.2">
      <c r="A5" s="9">
        <f>SUM('المواد القانونية'!$B$2:$B$21)</f>
        <v>175</v>
      </c>
      <c r="B5" s="9"/>
      <c r="C5" s="9"/>
      <c r="D5" s="9">
        <f>SUM('التوزيع الجغرافي للكيانات'!$B$2:$B$14)</f>
        <v>2723</v>
      </c>
      <c r="E5" s="9"/>
      <c r="F5" s="9"/>
      <c r="G5" s="8">
        <f>COUNTA('التوزيع الجغرافي للكيانات'!$A$2:$A$14)</f>
        <v>13</v>
      </c>
      <c r="H5" s="8"/>
      <c r="I5" s="8"/>
      <c r="J5" s="8">
        <f>COUNTA('أنواع الكيانات'!$A$2:$A$3)</f>
        <v>2</v>
      </c>
      <c r="K5" s="8"/>
      <c r="L5" s="8"/>
    </row>
    <row r="6" spans="1:14" x14ac:dyDescent="0.2">
      <c r="A6" s="9"/>
      <c r="B6" s="9"/>
      <c r="C6" s="9"/>
      <c r="D6" s="9"/>
      <c r="E6" s="9"/>
      <c r="F6" s="9"/>
      <c r="G6" s="8"/>
      <c r="H6" s="8"/>
      <c r="I6" s="8"/>
      <c r="J6" s="8"/>
      <c r="K6" s="8"/>
      <c r="L6" s="8"/>
    </row>
    <row r="8" spans="1:14" ht="15" customHeight="1" x14ac:dyDescent="0.2">
      <c r="A8" s="10" t="s">
        <v>6</v>
      </c>
      <c r="B8" s="10"/>
      <c r="C8" s="10"/>
      <c r="D8" s="10" t="s">
        <v>7</v>
      </c>
      <c r="E8" s="10"/>
      <c r="F8" s="10"/>
      <c r="G8" s="10" t="s">
        <v>8</v>
      </c>
      <c r="H8" s="10"/>
      <c r="I8" s="10"/>
      <c r="J8" s="10" t="s">
        <v>9</v>
      </c>
      <c r="K8" s="10"/>
      <c r="L8" s="10"/>
    </row>
    <row r="9" spans="1:14" ht="30" customHeight="1" x14ac:dyDescent="0.2">
      <c r="A9" s="8">
        <f>MAX('المواد القانونية'!$B$2:$B$21)</f>
        <v>41</v>
      </c>
      <c r="B9" s="8"/>
      <c r="C9" s="8"/>
      <c r="D9" s="9">
        <f>MAX('التوزيع الجغرافي للكيانات'!$B$2:$B$14)</f>
        <v>798</v>
      </c>
      <c r="E9" s="9"/>
      <c r="F9" s="9"/>
      <c r="G9" s="7">
        <f>MAX('التوزيع الجغرافي للكيانات'!$B$2:$B$14)/SUM('التوزيع الجغرافي للكيانات'!$B$2:$B$14)</f>
        <v>0.29305912596401029</v>
      </c>
      <c r="H9" s="7"/>
      <c r="I9" s="7"/>
      <c r="J9" s="7">
        <f>'أنواع الكيانات'!$C$2</f>
        <v>0.89974293059125965</v>
      </c>
      <c r="K9" s="7"/>
      <c r="L9" s="7"/>
    </row>
    <row r="10" spans="1:14" x14ac:dyDescent="0.2">
      <c r="A10" s="8"/>
      <c r="B10" s="8"/>
      <c r="C10" s="8"/>
      <c r="D10" s="9"/>
      <c r="E10" s="9"/>
      <c r="F10" s="9"/>
      <c r="G10" s="7"/>
      <c r="H10" s="7"/>
      <c r="I10" s="7"/>
      <c r="J10" s="7"/>
      <c r="K10" s="7"/>
      <c r="L10" s="7"/>
    </row>
    <row r="12" spans="1:14" x14ac:dyDescent="0.2">
      <c r="A12" s="6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8" customHeight="1" x14ac:dyDescent="0.2">
      <c r="A13" s="5" t="str">
        <f>"• إجمالي المواد القانونية: "&amp;TEXT(SUM('المواد القانونية'!$B$2:$B$21),"#,##0")&amp;" مادة، موزعة على "&amp;COUNTA('المواد القانونية'!$A$2:$A$21)&amp;" موضوعاً."</f>
        <v>• إجمالي المواد القانونية: 175 مادة، موزعة على 20 موضوعاً.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8" customHeight="1" x14ac:dyDescent="0.2">
      <c r="A14" s="5" t="str">
        <f>"• إجمالي الكيانات: "&amp;TEXT(SUM('التوزيع الجغرافي للكيانات'!$B$2:$B$14),"#,##0")&amp;" كياناً في "&amp;COUNTA('التوزيع الجغرافي للكيانات'!$A$2:$A$14)&amp;" منطقة."</f>
        <v>• إجمالي الكيانات: 2,723 كياناً في 13 منطقة.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8" customHeight="1" x14ac:dyDescent="0.2">
      <c r="A15" s="5" t="str">
        <f>"• أعلى منطقة في عدد الكيانات: "&amp;INDEX('التوزيع الجغرافي للكيانات'!$A$2:$A$14,MATCH(MAX('التوزيع الجغرافي للكيانات'!$B$2:$B$14),'التوزيع الجغرافي للكيانات'!$B$2:$B$14,0))&amp;" ("&amp;TEXT(MAX('التوزيع الجغرافي للكيانات'!$B$2:$B$14),"#,##0")&amp;"، بنسبة "&amp;TEXT(MAX('التوزيع الجغرافي للكيانات'!$B$2:$B$14)/SUM('التوزيع الجغرافي للكيانات'!$B$2:$B$14),"0.0%")&amp;")."</f>
        <v>• أعلى منطقة في عدد الكيانات: منطقة الرياض (798، بنسبة 29.3%).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8" customHeight="1" x14ac:dyDescent="0.2">
      <c r="A16" s="5" t="str">
        <f>"• أكثر موضوع قانوني تكراراً: "&amp;INDEX('المواد القانونية'!$A$2:$A$21,MATCH(MAX('المواد القانونية'!$B$2:$B$21),'المواد القانونية'!$B$2:$B$21,0))&amp;" ("&amp;MAX('المواد القانونية'!$B$2:$B$21)&amp;" مادة، بنسبة "&amp;TEXT(MAX('المواد القانونية'!$B$2:$B$21)/SUM('المواد القانونية'!$B$2:$B$21),"0.0%")&amp;")."</f>
        <v>• أكثر موضوع قانوني تكراراً: مجلس الإدارة ومجلس الأمناء (41 مادة، بنسبة 23.4%).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8" customHeight="1" x14ac:dyDescent="0.2">
      <c r="A17" s="5" t="str">
        <f>"• تحتاج "&amp;'التحليل الإحصائي'!B11&amp;" موضوعات فقط لتغطية 80% من المواد، وهذا تركّز واضح."</f>
        <v>• تحتاج 8 موضوعات فقط لتغطية 80% من المواد، وهذا تركّز واضح.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18" customHeight="1" x14ac:dyDescent="0.2">
      <c r="A18" s="5" t="str">
        <f>"• نسبة الجمعيات الأهلية من إجمالي الكيانات: "&amp;TEXT('أنواع الكيانات'!$C$2,"0.0%")&amp;"، والمؤسسات: "&amp;TEXT('أنواع الكيانات'!$C$3,"0.0%")&amp;"."</f>
        <v>• نسبة الجمعيات الأهلية من إجمالي الكيانات: 90.0%، والمؤسسات: 10.0%.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8" customHeight="1" x14ac:dyDescent="0.2">
      <c r="A19" s="5" t="str">
        <f>"• مؤشر تركز المناطق (HHI): "&amp;TEXT('التحليل الإحصائي'!B24,"#,##0")&amp;" مقابل حد أدنى نظري "&amp;TEXT('التحليل الإحصائي'!B25,"#,##0")&amp;" للتوزيع المتساوي."</f>
        <v>• مؤشر تركز المناطق (HHI): 1,458 مقابل حد أدنى نظري 769 للتوزيع المتساوي.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1" spans="1:14" x14ac:dyDescent="0.2">
      <c r="A21" s="4" t="s">
        <v>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</sheetData>
  <mergeCells count="27">
    <mergeCell ref="A18:N18"/>
    <mergeCell ref="A19:N19"/>
    <mergeCell ref="A21:N21"/>
    <mergeCell ref="A13:N13"/>
    <mergeCell ref="A14:N14"/>
    <mergeCell ref="A15:N15"/>
    <mergeCell ref="A16:N16"/>
    <mergeCell ref="A17:N17"/>
    <mergeCell ref="A9:C10"/>
    <mergeCell ref="D9:F10"/>
    <mergeCell ref="G9:I10"/>
    <mergeCell ref="J9:L10"/>
    <mergeCell ref="A12:N12"/>
    <mergeCell ref="A5:C6"/>
    <mergeCell ref="D5:F6"/>
    <mergeCell ref="G5:I6"/>
    <mergeCell ref="J5:L6"/>
    <mergeCell ref="A8:C8"/>
    <mergeCell ref="D8:F8"/>
    <mergeCell ref="G8:I8"/>
    <mergeCell ref="J8:L8"/>
    <mergeCell ref="A1:N1"/>
    <mergeCell ref="A2:N2"/>
    <mergeCell ref="A4:C4"/>
    <mergeCell ref="D4:F4"/>
    <mergeCell ref="G4:I4"/>
    <mergeCell ref="J4:L4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34"/>
  <sheetViews>
    <sheetView rightToLeft="1" topLeftCell="A39" zoomScaleNormal="100" workbookViewId="0"/>
  </sheetViews>
  <sheetFormatPr defaultColWidth="8.7421875" defaultRowHeight="15" x14ac:dyDescent="0.2"/>
  <cols>
    <col min="1" max="1" width="46.00390625" customWidth="1"/>
    <col min="2" max="2" width="18.0234375" customWidth="1"/>
    <col min="3" max="3" width="59.99609375" customWidth="1"/>
  </cols>
  <sheetData>
    <row r="1" spans="1:3" ht="18" x14ac:dyDescent="0.2">
      <c r="A1" s="3" t="s">
        <v>12</v>
      </c>
      <c r="B1" s="3"/>
      <c r="C1" s="3"/>
    </row>
    <row r="2" spans="1:3" x14ac:dyDescent="0.2">
      <c r="A2" s="2" t="s">
        <v>13</v>
      </c>
      <c r="B2" s="2"/>
      <c r="C2" s="2"/>
    </row>
    <row r="4" spans="1:3" x14ac:dyDescent="0.2">
      <c r="A4" s="1" t="s">
        <v>14</v>
      </c>
      <c r="B4" s="1"/>
      <c r="C4" s="1"/>
    </row>
    <row r="5" spans="1:3" x14ac:dyDescent="0.2">
      <c r="A5" s="13" t="s">
        <v>15</v>
      </c>
      <c r="B5" s="14">
        <f>COUNTA('المواد القانونية'!$A$2:$A$21)</f>
        <v>20</v>
      </c>
      <c r="C5" s="15"/>
    </row>
    <row r="6" spans="1:3" x14ac:dyDescent="0.2">
      <c r="A6" s="13" t="s">
        <v>16</v>
      </c>
      <c r="B6" s="16">
        <f>SUM('المواد القانونية'!$B$2:$B$21)</f>
        <v>175</v>
      </c>
      <c r="C6" s="15"/>
    </row>
    <row r="7" spans="1:3" x14ac:dyDescent="0.2">
      <c r="A7" s="13" t="s">
        <v>17</v>
      </c>
      <c r="B7" s="17">
        <f>AVERAGE('المواد القانونية'!$B$2:$B$21)</f>
        <v>8.75</v>
      </c>
      <c r="C7" s="15"/>
    </row>
    <row r="8" spans="1:3" x14ac:dyDescent="0.2">
      <c r="A8" s="13" t="s">
        <v>18</v>
      </c>
      <c r="B8" s="17">
        <f>MEDIAN('المواد القانونية'!$B$2:$B$21)</f>
        <v>4</v>
      </c>
      <c r="C8" s="15" t="s">
        <v>19</v>
      </c>
    </row>
    <row r="9" spans="1:3" x14ac:dyDescent="0.2">
      <c r="A9" s="13" t="s">
        <v>20</v>
      </c>
      <c r="B9" s="17">
        <f>STDEV('المواد القانونية'!$B$2:$B$21)</f>
        <v>10.21286598261954</v>
      </c>
      <c r="C9" s="15" t="s">
        <v>21</v>
      </c>
    </row>
    <row r="10" spans="1:3" x14ac:dyDescent="0.2">
      <c r="A10" s="13" t="s">
        <v>22</v>
      </c>
      <c r="B10" s="18">
        <f>MAX('المواد القانونية'!$B$2:$B$21)/SUM('المواد القانونية'!$B$2:$B$21)</f>
        <v>0.23428571428571429</v>
      </c>
      <c r="C10" s="15" t="str">
        <f>INDEX('المواد القانونية'!$A$2:$A$21,MATCH(MAX('المواد القانونية'!$B$2:$B$21),'المواد القانونية'!$B$2:$B$21,0))</f>
        <v>مجلس الإدارة ومجلس الأمناء</v>
      </c>
    </row>
    <row r="11" spans="1:3" x14ac:dyDescent="0.2">
      <c r="A11" s="13" t="s">
        <v>23</v>
      </c>
      <c r="B11" s="14">
        <f>COUNTIF('المواد القانونية'!$D$2:$D$21,"&lt;0.8")+1</f>
        <v>8</v>
      </c>
      <c r="C11" s="15" t="s">
        <v>24</v>
      </c>
    </row>
    <row r="12" spans="1:3" x14ac:dyDescent="0.2">
      <c r="A12" s="13" t="s">
        <v>25</v>
      </c>
      <c r="B12" s="14">
        <f>COUNTIF('المواد القانونية'!$B$2:$B$21,"&lt;=2")</f>
        <v>7</v>
      </c>
      <c r="C12" s="15" t="s">
        <v>26</v>
      </c>
    </row>
    <row r="13" spans="1:3" x14ac:dyDescent="0.2">
      <c r="A13" s="13" t="s">
        <v>27</v>
      </c>
      <c r="B13" s="19">
        <f>B9/B7</f>
        <v>1.1671846837279474</v>
      </c>
      <c r="C13" s="15" t="s">
        <v>28</v>
      </c>
    </row>
    <row r="15" spans="1:3" x14ac:dyDescent="0.2">
      <c r="A15" s="1" t="s">
        <v>29</v>
      </c>
      <c r="B15" s="1"/>
      <c r="C15" s="1"/>
    </row>
    <row r="16" spans="1:3" x14ac:dyDescent="0.2">
      <c r="A16" s="13" t="s">
        <v>4</v>
      </c>
      <c r="B16" s="14">
        <f>COUNTA('التوزيع الجغرافي للكيانات'!$A$2:$A$14)</f>
        <v>13</v>
      </c>
      <c r="C16" s="15"/>
    </row>
    <row r="17" spans="1:3" x14ac:dyDescent="0.2">
      <c r="A17" s="13" t="s">
        <v>3</v>
      </c>
      <c r="B17" s="16">
        <f>SUM('التوزيع الجغرافي للكيانات'!$B$2:$B$14)</f>
        <v>2723</v>
      </c>
      <c r="C17" s="15"/>
    </row>
    <row r="18" spans="1:3" x14ac:dyDescent="0.2">
      <c r="A18" s="13" t="s">
        <v>30</v>
      </c>
      <c r="B18" s="20">
        <f>AVERAGE('التوزيع الجغرافي للكيانات'!$B$2:$B$14)</f>
        <v>209.46153846153845</v>
      </c>
      <c r="C18" s="15"/>
    </row>
    <row r="19" spans="1:3" x14ac:dyDescent="0.2">
      <c r="A19" s="13" t="s">
        <v>18</v>
      </c>
      <c r="B19" s="20">
        <f>MEDIAN('التوزيع الجغرافي للكيانات'!$B$2:$B$14)</f>
        <v>148</v>
      </c>
      <c r="C19" s="15"/>
    </row>
    <row r="20" spans="1:3" x14ac:dyDescent="0.2">
      <c r="A20" s="13" t="s">
        <v>20</v>
      </c>
      <c r="B20" s="20">
        <f>STDEV('التوزيع الجغرافي للكيانات'!$B$2:$B$14)</f>
        <v>206.31513734439338</v>
      </c>
      <c r="C20" s="15"/>
    </row>
    <row r="21" spans="1:3" x14ac:dyDescent="0.2">
      <c r="A21" s="13" t="s">
        <v>31</v>
      </c>
      <c r="B21" s="19">
        <f>B20/B18</f>
        <v>0.9849786211814594</v>
      </c>
      <c r="C21" s="15" t="s">
        <v>32</v>
      </c>
    </row>
    <row r="22" spans="1:3" x14ac:dyDescent="0.2">
      <c r="A22" s="13" t="s">
        <v>33</v>
      </c>
      <c r="B22" s="18">
        <f>MAX('التوزيع الجغرافي للكيانات'!$B$2:$B$14)/SUM('التوزيع الجغرافي للكيانات'!$B$2:$B$14)</f>
        <v>0.29305912596401029</v>
      </c>
      <c r="C22" s="15" t="str">
        <f>INDEX('التوزيع الجغرافي للكيانات'!$A$2:$A$14,MATCH(MAX('التوزيع الجغرافي للكيانات'!$B$2:$B$14),'التوزيع الجغرافي للكيانات'!$B$2:$B$14,0))</f>
        <v>منطقة الرياض</v>
      </c>
    </row>
    <row r="23" spans="1:3" x14ac:dyDescent="0.2">
      <c r="A23" s="13" t="s">
        <v>34</v>
      </c>
      <c r="B23" s="18">
        <f>(LARGE('التوزيع الجغرافي للكيانات'!$B$2:$B$14,1)+LARGE('التوزيع الجغرافي للكيانات'!$B$2:$B$14,2)+LARGE('التوزيع الجغرافي للكيانات'!$B$2:$B$14,3))/SUM('التوزيع الجغرافي للكيانات'!$B$2:$B$14)</f>
        <v>0.53947851634226951</v>
      </c>
      <c r="C23" s="15"/>
    </row>
    <row r="24" spans="1:3" x14ac:dyDescent="0.2">
      <c r="A24" s="13" t="s">
        <v>35</v>
      </c>
      <c r="B24" s="16">
        <f>SUMPRODUCT('التوزيع الجغرافي للكيانات'!$C$2:$C$14^2)*10000</f>
        <v>1458.1180242730386</v>
      </c>
      <c r="C24" s="15" t="s">
        <v>36</v>
      </c>
    </row>
    <row r="25" spans="1:3" x14ac:dyDescent="0.2">
      <c r="A25" s="13" t="s">
        <v>37</v>
      </c>
      <c r="B25" s="16">
        <f>10000/B16</f>
        <v>769.23076923076928</v>
      </c>
      <c r="C25" s="15" t="s">
        <v>38</v>
      </c>
    </row>
    <row r="27" spans="1:3" x14ac:dyDescent="0.2">
      <c r="A27" s="1" t="s">
        <v>39</v>
      </c>
      <c r="B27" s="1"/>
      <c r="C27" s="1"/>
    </row>
    <row r="28" spans="1:3" x14ac:dyDescent="0.2">
      <c r="A28" s="13" t="s">
        <v>9</v>
      </c>
      <c r="B28" s="18">
        <f>'أنواع الكيانات'!$C$2</f>
        <v>0.89974293059125965</v>
      </c>
      <c r="C28" s="15"/>
    </row>
    <row r="29" spans="1:3" x14ac:dyDescent="0.2">
      <c r="A29" s="13" t="s">
        <v>40</v>
      </c>
      <c r="B29" s="18">
        <f>'أنواع الكيانات'!$C$3</f>
        <v>0.10025706940874037</v>
      </c>
      <c r="C29" s="15"/>
    </row>
    <row r="30" spans="1:3" x14ac:dyDescent="0.2">
      <c r="A30" s="13" t="s">
        <v>41</v>
      </c>
      <c r="B30" s="17">
        <f>(B28-B29)*100</f>
        <v>79.948586118251924</v>
      </c>
      <c r="C30" s="15"/>
    </row>
    <row r="32" spans="1:3" x14ac:dyDescent="0.2">
      <c r="A32" s="1" t="s">
        <v>42</v>
      </c>
      <c r="B32" s="1"/>
      <c r="C32" s="1"/>
    </row>
    <row r="33" spans="1:3" ht="30" customHeight="1" x14ac:dyDescent="0.2">
      <c r="A33" s="13" t="s">
        <v>43</v>
      </c>
      <c r="B33" s="16">
        <f>SUM('المواد القانونية'!$B$2:$B$21)</f>
        <v>175</v>
      </c>
      <c r="C33" s="15" t="s">
        <v>44</v>
      </c>
    </row>
    <row r="34" spans="1:3" x14ac:dyDescent="0.2">
      <c r="A34" s="13" t="s">
        <v>45</v>
      </c>
      <c r="B34" s="13" t="str">
        <f>IF(B17='أنواع الكيانات'!$B$4,"متطابق","غير متطابق")</f>
        <v>متطابق</v>
      </c>
      <c r="C34" s="15" t="s">
        <v>46</v>
      </c>
    </row>
  </sheetData>
  <mergeCells count="6">
    <mergeCell ref="A32:C32"/>
    <mergeCell ref="A1:C1"/>
    <mergeCell ref="A2:C2"/>
    <mergeCell ref="A4:C4"/>
    <mergeCell ref="A15:C15"/>
    <mergeCell ref="A27:C27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2"/>
  <sheetViews>
    <sheetView rightToLeft="1" zoomScaleNormal="100" workbookViewId="0"/>
  </sheetViews>
  <sheetFormatPr defaultColWidth="8.7421875" defaultRowHeight="15" x14ac:dyDescent="0.2"/>
  <cols>
    <col min="1" max="1" width="34.03125" customWidth="1"/>
    <col min="2" max="2" width="16.0078125" customWidth="1"/>
    <col min="3" max="4" width="20.04296875" customWidth="1"/>
  </cols>
  <sheetData>
    <row r="1" spans="1:4" x14ac:dyDescent="0.2">
      <c r="A1" s="21" t="s">
        <v>47</v>
      </c>
      <c r="B1" s="21" t="s">
        <v>48</v>
      </c>
      <c r="C1" s="21" t="s">
        <v>49</v>
      </c>
      <c r="D1" s="21" t="s">
        <v>50</v>
      </c>
    </row>
    <row r="2" spans="1:4" x14ac:dyDescent="0.2">
      <c r="A2" s="22" t="s">
        <v>51</v>
      </c>
      <c r="B2" s="16">
        <v>41</v>
      </c>
      <c r="C2" s="18">
        <f>B2/SUM($B$2:$B$21)</f>
        <v>0.23428571428571429</v>
      </c>
      <c r="D2" s="18">
        <f>SUM($B$2:B2)/SUM($B$2:$B$21)</f>
        <v>0.23428571428571429</v>
      </c>
    </row>
    <row r="3" spans="1:4" x14ac:dyDescent="0.2">
      <c r="A3" s="22" t="s">
        <v>52</v>
      </c>
      <c r="B3" s="16">
        <v>27</v>
      </c>
      <c r="C3" s="18">
        <f>B3/SUM($B$2:$B$21)</f>
        <v>0.15428571428571428</v>
      </c>
      <c r="D3" s="18">
        <f>SUM($B$2:B3)/SUM($B$2:$B$21)</f>
        <v>0.38857142857142857</v>
      </c>
    </row>
    <row r="4" spans="1:4" x14ac:dyDescent="0.2">
      <c r="A4" s="22" t="s">
        <v>53</v>
      </c>
      <c r="B4" s="16">
        <v>16</v>
      </c>
      <c r="C4" s="18">
        <f>B4/SUM($B$2:$B$21)</f>
        <v>9.1428571428571428E-2</v>
      </c>
      <c r="D4" s="18">
        <f>SUM($B$2:B4)/SUM($B$2:$B$21)</f>
        <v>0.48</v>
      </c>
    </row>
    <row r="5" spans="1:4" x14ac:dyDescent="0.2">
      <c r="A5" s="22" t="s">
        <v>54</v>
      </c>
      <c r="B5" s="16">
        <v>14</v>
      </c>
      <c r="C5" s="18">
        <f>B5/SUM($B$2:$B$21)</f>
        <v>0.08</v>
      </c>
      <c r="D5" s="18">
        <f>SUM($B$2:B5)/SUM($B$2:$B$21)</f>
        <v>0.56000000000000005</v>
      </c>
    </row>
    <row r="6" spans="1:4" x14ac:dyDescent="0.2">
      <c r="A6" s="22" t="s">
        <v>55</v>
      </c>
      <c r="B6" s="16">
        <v>13</v>
      </c>
      <c r="C6" s="18">
        <f>B6/SUM($B$2:$B$21)</f>
        <v>7.4285714285714288E-2</v>
      </c>
      <c r="D6" s="18">
        <f>SUM($B$2:B6)/SUM($B$2:$B$21)</f>
        <v>0.63428571428571423</v>
      </c>
    </row>
    <row r="7" spans="1:4" x14ac:dyDescent="0.2">
      <c r="A7" s="22" t="s">
        <v>56</v>
      </c>
      <c r="B7" s="16">
        <v>13</v>
      </c>
      <c r="C7" s="18">
        <f>B7/SUM($B$2:$B$21)</f>
        <v>7.4285714285714288E-2</v>
      </c>
      <c r="D7" s="18">
        <f>SUM($B$2:B7)/SUM($B$2:$B$21)</f>
        <v>0.70857142857142852</v>
      </c>
    </row>
    <row r="8" spans="1:4" x14ac:dyDescent="0.2">
      <c r="A8" s="22" t="s">
        <v>57</v>
      </c>
      <c r="B8" s="16">
        <v>10</v>
      </c>
      <c r="C8" s="18">
        <f>B8/SUM($B$2:$B$21)</f>
        <v>5.7142857142857141E-2</v>
      </c>
      <c r="D8" s="18">
        <f>SUM($B$2:B8)/SUM($B$2:$B$21)</f>
        <v>0.76571428571428568</v>
      </c>
    </row>
    <row r="9" spans="1:4" x14ac:dyDescent="0.2">
      <c r="A9" s="22" t="s">
        <v>58</v>
      </c>
      <c r="B9" s="16">
        <v>9</v>
      </c>
      <c r="C9" s="18">
        <f>B9/SUM($B$2:$B$21)</f>
        <v>5.1428571428571428E-2</v>
      </c>
      <c r="D9" s="18">
        <f>SUM($B$2:B9)/SUM($B$2:$B$21)</f>
        <v>0.81714285714285717</v>
      </c>
    </row>
    <row r="10" spans="1:4" x14ac:dyDescent="0.2">
      <c r="A10" s="22" t="s">
        <v>59</v>
      </c>
      <c r="B10" s="16">
        <v>8</v>
      </c>
      <c r="C10" s="18">
        <f>B10/SUM($B$2:$B$21)</f>
        <v>4.5714285714285714E-2</v>
      </c>
      <c r="D10" s="18">
        <f>SUM($B$2:B10)/SUM($B$2:$B$21)</f>
        <v>0.86285714285714288</v>
      </c>
    </row>
    <row r="11" spans="1:4" x14ac:dyDescent="0.2">
      <c r="A11" s="22" t="s">
        <v>60</v>
      </c>
      <c r="B11" s="16">
        <v>5</v>
      </c>
      <c r="C11" s="18">
        <f>B11/SUM($B$2:$B$21)</f>
        <v>2.8571428571428571E-2</v>
      </c>
      <c r="D11" s="18">
        <f>SUM($B$2:B11)/SUM($B$2:$B$21)</f>
        <v>0.89142857142857146</v>
      </c>
    </row>
    <row r="12" spans="1:4" x14ac:dyDescent="0.2">
      <c r="A12" s="22" t="s">
        <v>61</v>
      </c>
      <c r="B12" s="16">
        <v>3</v>
      </c>
      <c r="C12" s="18">
        <f>B12/SUM($B$2:$B$21)</f>
        <v>1.7142857142857144E-2</v>
      </c>
      <c r="D12" s="18">
        <f>SUM($B$2:B12)/SUM($B$2:$B$21)</f>
        <v>0.90857142857142859</v>
      </c>
    </row>
    <row r="13" spans="1:4" x14ac:dyDescent="0.2">
      <c r="A13" s="22" t="s">
        <v>62</v>
      </c>
      <c r="B13" s="16">
        <v>3</v>
      </c>
      <c r="C13" s="18">
        <f>B13/SUM($B$2:$B$21)</f>
        <v>1.7142857142857144E-2</v>
      </c>
      <c r="D13" s="18">
        <f>SUM($B$2:B13)/SUM($B$2:$B$21)</f>
        <v>0.92571428571428571</v>
      </c>
    </row>
    <row r="14" spans="1:4" x14ac:dyDescent="0.2">
      <c r="A14" s="22" t="s">
        <v>63</v>
      </c>
      <c r="B14" s="16">
        <v>3</v>
      </c>
      <c r="C14" s="18">
        <f>B14/SUM($B$2:$B$21)</f>
        <v>1.7142857142857144E-2</v>
      </c>
      <c r="D14" s="18">
        <f>SUM($B$2:B14)/SUM($B$2:$B$21)</f>
        <v>0.94285714285714284</v>
      </c>
    </row>
    <row r="15" spans="1:4" x14ac:dyDescent="0.2">
      <c r="A15" s="22" t="s">
        <v>64</v>
      </c>
      <c r="B15" s="16">
        <v>2</v>
      </c>
      <c r="C15" s="18">
        <f>B15/SUM($B$2:$B$21)</f>
        <v>1.1428571428571429E-2</v>
      </c>
      <c r="D15" s="18">
        <f>SUM($B$2:B15)/SUM($B$2:$B$21)</f>
        <v>0.95428571428571429</v>
      </c>
    </row>
    <row r="16" spans="1:4" x14ac:dyDescent="0.2">
      <c r="A16" s="22" t="s">
        <v>65</v>
      </c>
      <c r="B16" s="16">
        <v>2</v>
      </c>
      <c r="C16" s="18">
        <f>B16/SUM($B$2:$B$21)</f>
        <v>1.1428571428571429E-2</v>
      </c>
      <c r="D16" s="18">
        <f>SUM($B$2:B16)/SUM($B$2:$B$21)</f>
        <v>0.96571428571428575</v>
      </c>
    </row>
    <row r="17" spans="1:4" x14ac:dyDescent="0.2">
      <c r="A17" s="22" t="s">
        <v>66</v>
      </c>
      <c r="B17" s="16">
        <v>2</v>
      </c>
      <c r="C17" s="18">
        <f>B17/SUM($B$2:$B$21)</f>
        <v>1.1428571428571429E-2</v>
      </c>
      <c r="D17" s="18">
        <f>SUM($B$2:B17)/SUM($B$2:$B$21)</f>
        <v>0.97714285714285709</v>
      </c>
    </row>
    <row r="18" spans="1:4" x14ac:dyDescent="0.2">
      <c r="A18" s="22" t="s">
        <v>67</v>
      </c>
      <c r="B18" s="16">
        <v>1</v>
      </c>
      <c r="C18" s="18">
        <f>B18/SUM($B$2:$B$21)</f>
        <v>5.7142857142857143E-3</v>
      </c>
      <c r="D18" s="18">
        <f>SUM($B$2:B18)/SUM($B$2:$B$21)</f>
        <v>0.98285714285714287</v>
      </c>
    </row>
    <row r="19" spans="1:4" x14ac:dyDescent="0.2">
      <c r="A19" s="22" t="s">
        <v>68</v>
      </c>
      <c r="B19" s="16">
        <v>1</v>
      </c>
      <c r="C19" s="18">
        <f>B19/SUM($B$2:$B$21)</f>
        <v>5.7142857142857143E-3</v>
      </c>
      <c r="D19" s="18">
        <f>SUM($B$2:B19)/SUM($B$2:$B$21)</f>
        <v>0.98857142857142855</v>
      </c>
    </row>
    <row r="20" spans="1:4" x14ac:dyDescent="0.2">
      <c r="A20" s="22" t="s">
        <v>69</v>
      </c>
      <c r="B20" s="16">
        <v>1</v>
      </c>
      <c r="C20" s="18">
        <f>B20/SUM($B$2:$B$21)</f>
        <v>5.7142857142857143E-3</v>
      </c>
      <c r="D20" s="18">
        <f>SUM($B$2:B20)/SUM($B$2:$B$21)</f>
        <v>0.99428571428571433</v>
      </c>
    </row>
    <row r="21" spans="1:4" x14ac:dyDescent="0.2">
      <c r="A21" s="22" t="s">
        <v>70</v>
      </c>
      <c r="B21" s="16">
        <v>1</v>
      </c>
      <c r="C21" s="18">
        <f>B21/SUM($B$2:$B$21)</f>
        <v>5.7142857142857143E-3</v>
      </c>
      <c r="D21" s="18">
        <f>SUM($B$2:B21)/SUM($B$2:$B$21)</f>
        <v>1</v>
      </c>
    </row>
    <row r="22" spans="1:4" x14ac:dyDescent="0.2">
      <c r="A22" s="23" t="s">
        <v>71</v>
      </c>
      <c r="B22" s="24">
        <f>SUM(B2:B21)</f>
        <v>175</v>
      </c>
      <c r="C22" s="25">
        <f>SUM(C2:C21)</f>
        <v>0.99999999999999978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5"/>
  <sheetViews>
    <sheetView rightToLeft="1" tabSelected="1" zoomScaleNormal="100" workbookViewId="0"/>
  </sheetViews>
  <sheetFormatPr defaultColWidth="8.7421875" defaultRowHeight="15" x14ac:dyDescent="0.2"/>
  <cols>
    <col min="1" max="1" width="34.03125" customWidth="1"/>
    <col min="2" max="2" width="16.0078125" customWidth="1"/>
    <col min="3" max="3" width="20.04296875" customWidth="1"/>
    <col min="4" max="4" width="11.97265625" customWidth="1"/>
  </cols>
  <sheetData>
    <row r="1" spans="1:4" x14ac:dyDescent="0.2">
      <c r="A1" s="21" t="s">
        <v>72</v>
      </c>
      <c r="B1" s="21" t="s">
        <v>73</v>
      </c>
      <c r="C1" s="21" t="s">
        <v>49</v>
      </c>
      <c r="D1" s="21" t="s">
        <v>74</v>
      </c>
    </row>
    <row r="2" spans="1:4" x14ac:dyDescent="0.2">
      <c r="A2" s="22" t="s">
        <v>75</v>
      </c>
      <c r="B2" s="16">
        <v>798</v>
      </c>
      <c r="C2" s="18">
        <f>B2/SUM($B$2:$B$14)</f>
        <v>0.29305912596401029</v>
      </c>
      <c r="D2" s="14">
        <f>RANK(B2,$B$2:$B$14)</f>
        <v>1</v>
      </c>
    </row>
    <row r="3" spans="1:4" x14ac:dyDescent="0.2">
      <c r="A3" s="22" t="s">
        <v>76</v>
      </c>
      <c r="B3" s="16">
        <v>444</v>
      </c>
      <c r="C3" s="18">
        <f>B3/SUM($B$2:$B$14)</f>
        <v>0.16305545354388543</v>
      </c>
      <c r="D3" s="14">
        <f>RANK(B3,$B$2:$B$14)</f>
        <v>2</v>
      </c>
    </row>
    <row r="4" spans="1:4" x14ac:dyDescent="0.2">
      <c r="A4" s="22" t="s">
        <v>77</v>
      </c>
      <c r="B4" s="16">
        <v>227</v>
      </c>
      <c r="C4" s="18">
        <f>B4/SUM($B$2:$B$14)</f>
        <v>8.3363936834373847E-2</v>
      </c>
      <c r="D4" s="14">
        <f>RANK(B4,$B$2:$B$14)</f>
        <v>3</v>
      </c>
    </row>
    <row r="5" spans="1:4" x14ac:dyDescent="0.2">
      <c r="A5" s="22" t="s">
        <v>78</v>
      </c>
      <c r="B5" s="16">
        <v>223</v>
      </c>
      <c r="C5" s="18">
        <f>B5/SUM($B$2:$B$14)</f>
        <v>8.1894968784428937E-2</v>
      </c>
      <c r="D5" s="14">
        <f>RANK(B5,$B$2:$B$14)</f>
        <v>4</v>
      </c>
    </row>
    <row r="6" spans="1:4" x14ac:dyDescent="0.2">
      <c r="A6" s="22" t="s">
        <v>79</v>
      </c>
      <c r="B6" s="16">
        <v>220</v>
      </c>
      <c r="C6" s="18">
        <f>B6/SUM($B$2:$B$14)</f>
        <v>8.0793242746970251E-2</v>
      </c>
      <c r="D6" s="14">
        <f>RANK(B6,$B$2:$B$14)</f>
        <v>5</v>
      </c>
    </row>
    <row r="7" spans="1:4" x14ac:dyDescent="0.2">
      <c r="A7" s="22" t="s">
        <v>80</v>
      </c>
      <c r="B7" s="16">
        <v>183</v>
      </c>
      <c r="C7" s="18">
        <f>B7/SUM($B$2:$B$14)</f>
        <v>6.7205288284979806E-2</v>
      </c>
      <c r="D7" s="14">
        <f>RANK(B7,$B$2:$B$14)</f>
        <v>6</v>
      </c>
    </row>
    <row r="8" spans="1:4" x14ac:dyDescent="0.2">
      <c r="A8" s="22" t="s">
        <v>81</v>
      </c>
      <c r="B8" s="16">
        <v>148</v>
      </c>
      <c r="C8" s="18">
        <f>B8/SUM($B$2:$B$14)</f>
        <v>5.4351817847961809E-2</v>
      </c>
      <c r="D8" s="14">
        <f>RANK(B8,$B$2:$B$14)</f>
        <v>7</v>
      </c>
    </row>
    <row r="9" spans="1:4" x14ac:dyDescent="0.2">
      <c r="A9" s="22" t="s">
        <v>82</v>
      </c>
      <c r="B9" s="16">
        <v>130</v>
      </c>
      <c r="C9" s="18">
        <f>B9/SUM($B$2:$B$14)</f>
        <v>4.7741461623209698E-2</v>
      </c>
      <c r="D9" s="14">
        <f>RANK(B9,$B$2:$B$14)</f>
        <v>8</v>
      </c>
    </row>
    <row r="10" spans="1:4" x14ac:dyDescent="0.2">
      <c r="A10" s="22" t="s">
        <v>83</v>
      </c>
      <c r="B10" s="16">
        <v>90</v>
      </c>
      <c r="C10" s="18">
        <f>B10/SUM($B$2:$B$14)</f>
        <v>3.305178112376056E-2</v>
      </c>
      <c r="D10" s="14">
        <f>RANK(B10,$B$2:$B$14)</f>
        <v>9</v>
      </c>
    </row>
    <row r="11" spans="1:4" x14ac:dyDescent="0.2">
      <c r="A11" s="22" t="s">
        <v>84</v>
      </c>
      <c r="B11" s="16">
        <v>73</v>
      </c>
      <c r="C11" s="18">
        <f>B11/SUM($B$2:$B$14)</f>
        <v>2.6808666911494677E-2</v>
      </c>
      <c r="D11" s="14">
        <f>RANK(B11,$B$2:$B$14)</f>
        <v>10</v>
      </c>
    </row>
    <row r="12" spans="1:4" x14ac:dyDescent="0.2">
      <c r="A12" s="22" t="s">
        <v>85</v>
      </c>
      <c r="B12" s="16">
        <v>73</v>
      </c>
      <c r="C12" s="18">
        <f>B12/SUM($B$2:$B$14)</f>
        <v>2.6808666911494677E-2</v>
      </c>
      <c r="D12" s="14">
        <f>RANK(B12,$B$2:$B$14)</f>
        <v>10</v>
      </c>
    </row>
    <row r="13" spans="1:4" x14ac:dyDescent="0.2">
      <c r="A13" s="22" t="s">
        <v>86</v>
      </c>
      <c r="B13" s="16">
        <v>59</v>
      </c>
      <c r="C13" s="18">
        <f>B13/SUM($B$2:$B$14)</f>
        <v>2.1667278736687477E-2</v>
      </c>
      <c r="D13" s="14">
        <f>RANK(B13,$B$2:$B$14)</f>
        <v>12</v>
      </c>
    </row>
    <row r="14" spans="1:4" x14ac:dyDescent="0.2">
      <c r="A14" s="22" t="s">
        <v>87</v>
      </c>
      <c r="B14" s="16">
        <v>55</v>
      </c>
      <c r="C14" s="18">
        <f>B14/SUM($B$2:$B$14)</f>
        <v>2.0198310686742563E-2</v>
      </c>
      <c r="D14" s="14">
        <f>RANK(B14,$B$2:$B$14)</f>
        <v>13</v>
      </c>
    </row>
    <row r="15" spans="1:4" x14ac:dyDescent="0.2">
      <c r="A15" s="23" t="s">
        <v>71</v>
      </c>
      <c r="B15" s="24">
        <f>SUM(B2:B14)</f>
        <v>2723</v>
      </c>
      <c r="C15" s="25">
        <f>SUM(C2:C14)</f>
        <v>1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4"/>
  <sheetViews>
    <sheetView rightToLeft="1" zoomScaleNormal="100" workbookViewId="0"/>
  </sheetViews>
  <sheetFormatPr defaultColWidth="8.7421875" defaultRowHeight="15" x14ac:dyDescent="0.2"/>
  <cols>
    <col min="1" max="1" width="34.03125" customWidth="1"/>
    <col min="2" max="2" width="16.0078125" customWidth="1"/>
    <col min="3" max="3" width="20.04296875" customWidth="1"/>
  </cols>
  <sheetData>
    <row r="1" spans="1:3" x14ac:dyDescent="0.2">
      <c r="A1" s="21" t="s">
        <v>88</v>
      </c>
      <c r="B1" s="21" t="s">
        <v>89</v>
      </c>
      <c r="C1" s="21" t="s">
        <v>49</v>
      </c>
    </row>
    <row r="2" spans="1:3" x14ac:dyDescent="0.2">
      <c r="A2" s="22" t="s">
        <v>90</v>
      </c>
      <c r="B2" s="16">
        <v>2450</v>
      </c>
      <c r="C2" s="18">
        <f>B2/SUM($B$2:$B$3)</f>
        <v>0.89974293059125965</v>
      </c>
    </row>
    <row r="3" spans="1:3" x14ac:dyDescent="0.2">
      <c r="A3" s="22" t="s">
        <v>91</v>
      </c>
      <c r="B3" s="16">
        <v>273</v>
      </c>
      <c r="C3" s="18">
        <f>B3/SUM($B$2:$B$3)</f>
        <v>0.10025706940874037</v>
      </c>
    </row>
    <row r="4" spans="1:3" x14ac:dyDescent="0.2">
      <c r="A4" s="23" t="s">
        <v>71</v>
      </c>
      <c r="B4" s="24">
        <f>SUM(B2:B3)</f>
        <v>2723</v>
      </c>
      <c r="C4" s="25">
        <f>SUM(C2:C3)</f>
        <v>1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لوحة الرسومات الإحصائية</vt:lpstr>
      <vt:lpstr>التحليل الإحصائي</vt:lpstr>
      <vt:lpstr>المواد القانونية</vt:lpstr>
      <vt:lpstr>التوزيع الجغرافي للكيانات</vt:lpstr>
      <vt:lpstr>أنواع الكيانات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2026-10-29T16:13:13Z</dcterms:created>
  <dcterms:modified xsi:type="dcterms:W3CDTF">2026-10-29T16:13:15Z</dcterms:modified>
  <dc:language>en-US</dc:language>
</cp:coreProperties>
</file>